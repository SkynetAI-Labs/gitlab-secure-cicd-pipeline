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Low" sheetId="2" r:id="rId2"/>
    <sheet name="Base" sheetId="3" r:id="rId3"/>
    <sheet name="High" sheetId="4" r:id="rId4"/>
    <sheet name="Illustration" sheetId="5" r:id="rId5"/>
  </sheets>
  <definedNames>
    <definedName name="_xlnm.Print_Area" localSheetId="2">Base!$A$1:$E$35</definedName>
    <definedName name="_xlnm.Print_Area" localSheetId="3">High!$A$1:$E$35</definedName>
    <definedName name="_xlnm.Print_Area" localSheetId="4">Illustration!$A$1:$E$35</definedName>
    <definedName name="_xlnm.Print_Area" localSheetId="1">Low!$A$1:$E$35</definedName>
    <definedName name="_xlnm.Print_Titles" localSheetId="2">Base!$1:$6</definedName>
    <definedName name="_xlnm.Print_Titles" localSheetId="3">High!$1:$6</definedName>
    <definedName name="_xlnm.Print_Titles" localSheetId="4">Illustration!$1:$6</definedName>
    <definedName name="_xlnm.Print_Titles" localSheetId="1">Low!$1:$6</definedName>
  </definedNames>
  <calcPr calcId="124519" fullCalcOnLoad="1"/>
</workbook>
</file>

<file path=xl/sharedStrings.xml><?xml version="1.0" encoding="utf-8"?>
<sst xmlns="http://schemas.openxmlformats.org/spreadsheetml/2006/main" count="196" uniqueCount="57">
  <si>
    <t>Independent Portfolio Project — buyer-owned cost model</t>
  </si>
  <si>
    <t>Use Low/Base/High for buyer-evidenced assumptions. Blank values are UNKNOWN, not zero.</t>
  </si>
  <si>
    <t>Current baseline, retain/improve GitHub, and evaluate GitLab share workload, horizon and hourly rate within each sheet.</t>
  </si>
  <si>
    <t>Enter zero only for a confirmed zero. Record evidence, owner and confirmation status in column E.</t>
  </si>
  <si>
    <t>12 months is a planning assumption. GBP is the example currency; keep all quotes and tax treatment consistent.</t>
  </si>
  <si>
    <t>Licence/security quotes, runner/storage forecasts, support and migration terms have NOT been collected.</t>
  </si>
  <si>
    <t>Input cells are purple. Formula cells remain Incomplete until all required inputs for that option are numeric.</t>
  </si>
  <si>
    <t>Operating labour includes ownership, triage and review. Keep these time categories non-overlapping.</t>
  </si>
  <si>
    <t>In-house migration/training hours are valued at the common loaded rate. Put external fees in other one-time charges; do not double count.</t>
  </si>
  <si>
    <t>Overlap costs are additional commitments across the horizon not already counted in recurring categories.</t>
  </si>
  <si>
    <t>Economic TCO includes labour capacity value. Modelled cash outlay excludes that in-house valuation; it is not automatically budget savings.</t>
  </si>
  <si>
    <t>Capacity value is already included in economic TCO: never subtract it again.</t>
  </si>
  <si>
    <t>Illustration is vendor-neutral, with invented Baseline / Option A / Option B inputs. It is not a product comparison or forecast.</t>
  </si>
  <si>
    <t>Illustration A has lower economic TCO but greater cash outlay than Baseline. This is deliberate arithmetic, not a sales claim.</t>
  </si>
  <si>
    <t>This is an undiscounted template with no incident-loss model. Add other material costs and obtain buyer sign-off before decisions.</t>
  </si>
  <si>
    <t>No macros or external data connections. See COST_MODEL.md for formulas, limitations, and the CSV input template.</t>
  </si>
  <si>
    <t>Low — buyer inputs unknown; no platform recommendation</t>
  </si>
  <si>
    <t>Common horizon / months</t>
  </si>
  <si>
    <t>Common loaded rate / GBP per hour</t>
  </si>
  <si>
    <t>Matched releases per month</t>
  </si>
  <si>
    <t>Input / output and unit</t>
  </si>
  <si>
    <t>Current baseline</t>
  </si>
  <si>
    <t>Retain / improve GitHub</t>
  </si>
  <si>
    <t>Evaluate GitLab</t>
  </si>
  <si>
    <t>Evidence / owner / confirmation status</t>
  </si>
  <si>
    <t>Plan licences / GBP per month</t>
  </si>
  <si>
    <t>Incremental security subscriptions / GBP per month</t>
  </si>
  <si>
    <t>Runner compute / GBP per month</t>
  </si>
  <si>
    <t>Artifacts and storage / GBP per month</t>
  </si>
  <si>
    <t>Integrations and support / GBP per month</t>
  </si>
  <si>
    <t>Pipeline ownership / hours per month</t>
  </si>
  <si>
    <t>Security triage / hours per month</t>
  </si>
  <si>
    <t>Manual review / minutes per release</t>
  </si>
  <si>
    <t>In-house migration / one-time hours</t>
  </si>
  <si>
    <t>In-house training / one-time hours</t>
  </si>
  <si>
    <t>Other one-time charges / GBP</t>
  </si>
  <si>
    <t>Additional overlap commitments / GBP over horizon</t>
  </si>
  <si>
    <t>Input completeness</t>
  </si>
  <si>
    <t>Monthly cash operating cost / GBP</t>
  </si>
  <si>
    <t>Monthly review time / hours</t>
  </si>
  <si>
    <t>Monthly operating labour value / GBP</t>
  </si>
  <si>
    <t>Monthly economic operating cost / GBP</t>
  </si>
  <si>
    <t>One-time economic change cost / GBP</t>
  </si>
  <si>
    <t>Horizon economic TCO / GBP</t>
  </si>
  <si>
    <t>Economic difference vs baseline / GBP</t>
  </si>
  <si>
    <t>Review capacity returned per month / hours</t>
  </si>
  <si>
    <t>Review capacity value per month / GBP</t>
  </si>
  <si>
    <t>Horizon modelled cash outlay / GBP</t>
  </si>
  <si>
    <t>Unknown — add quote/measurement, owner and status</t>
  </si>
  <si>
    <t>Positive economic difference is not a cash saving. No paid product or customer result was tested.</t>
  </si>
  <si>
    <t>Base — buyer inputs unknown; no platform recommendation</t>
  </si>
  <si>
    <t>High — buyer inputs unknown; no platform recommendation</t>
  </si>
  <si>
    <t>Illustration — invented vendor-neutral inputs; NOT a quote or measured result</t>
  </si>
  <si>
    <t>Baseline</t>
  </si>
  <si>
    <t>Option A</t>
  </si>
  <si>
    <t>Option B</t>
  </si>
  <si>
    <t>Illustrative assumption; no vendor mapping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</si>
</sst>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72078"/>
        <bgColor indexed="64"/>
      </patternFill>
    </fill>
    <fill>
      <patternFill patternType="solid">
        <fgColor rgb="FFF1E6FF"/>
        <bgColor indexed="64"/>
      </patternFill>
    </fill>
    <fill>
      <patternFill patternType="solid">
        <fgColor rgb="FFECE0FC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thin">
        <color rgb="FFD5C0EE"/>
      </left>
      <right style="thin">
        <color rgb="FFD5C0EE"/>
      </right>
      <top style="thin">
        <color rgb="FFD5C0EE"/>
      </top>
      <bottom style="thin">
        <color rgb="FFD5C0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4" fontId="0" fillId="3" borderId="1" xfId="0" applyNumberFormat="1" applyFill="1" applyBorder="1"/>
    <xf numFmtId="0" fontId="2" fillId="0" borderId="0" xfId="0" applyFont="1" applyAlignment="1">
      <alignment vertical="top" wrapText="1"/>
    </xf>
    <xf numFmtId="0" fontId="3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5"/>
  <cols>
    <col min="1" max="1" width="108.7109375" customWidth="1"/>
  </cols>
  <sheetData>
    <row r="1" spans="1:1">
      <c r="A1" s="1" t="s">
        <v>0</v>
      </c>
    </row>
    <row r="3" spans="1:1" ht="38.25" customHeight="1">
      <c r="A3" s="2" t="s">
        <v>1</v>
      </c>
    </row>
    <row r="4" spans="1:1" ht="38.25" customHeight="1">
      <c r="A4" s="2" t="s">
        <v>2</v>
      </c>
    </row>
    <row r="5" spans="1:1" ht="38.25" customHeight="1">
      <c r="A5" s="2" t="s">
        <v>3</v>
      </c>
    </row>
    <row r="6" spans="1:1" ht="38.25" customHeight="1">
      <c r="A6" s="2" t="s">
        <v>4</v>
      </c>
    </row>
    <row r="7" spans="1:1" ht="38.25" customHeight="1">
      <c r="A7" s="2" t="s">
        <v>5</v>
      </c>
    </row>
    <row r="8" spans="1:1" ht="38.25" customHeight="1">
      <c r="A8" s="2" t="s">
        <v>6</v>
      </c>
    </row>
    <row r="9" spans="1:1" ht="38.25" customHeight="1">
      <c r="A9" s="2" t="s">
        <v>7</v>
      </c>
    </row>
    <row r="10" spans="1:1" ht="38.25" customHeight="1">
      <c r="A10" s="2" t="s">
        <v>8</v>
      </c>
    </row>
    <row r="11" spans="1:1" ht="38.25" customHeight="1">
      <c r="A11" s="2" t="s">
        <v>9</v>
      </c>
    </row>
    <row r="12" spans="1:1" ht="38.25" customHeight="1">
      <c r="A12" s="2" t="s">
        <v>10</v>
      </c>
    </row>
    <row r="13" spans="1:1" ht="38.25" customHeight="1">
      <c r="A13" s="2" t="s">
        <v>11</v>
      </c>
    </row>
    <row r="14" spans="1:1" ht="38.25" customHeight="1">
      <c r="A14" s="2" t="s">
        <v>12</v>
      </c>
    </row>
    <row r="15" spans="1:1" ht="38.25" customHeight="1">
      <c r="A15" s="2" t="s">
        <v>13</v>
      </c>
    </row>
    <row r="16" spans="1:1" ht="38.25" customHeight="1">
      <c r="A16" s="2" t="s">
        <v>14</v>
      </c>
    </row>
    <row r="17" spans="1:1" ht="38.25" customHeight="1">
      <c r="A17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47.7109375" customWidth="1"/>
    <col min="2" max="4" width="23.7109375" customWidth="1"/>
    <col min="5" max="5" width="58.7109375" customWidth="1"/>
  </cols>
  <sheetData>
    <row r="1" spans="1:5">
      <c r="A1" s="1" t="s">
        <v>16</v>
      </c>
      <c r="B1" s="1"/>
      <c r="C1" s="1"/>
      <c r="D1" s="1"/>
      <c r="E1" s="1"/>
    </row>
    <row r="2" spans="1:5">
      <c r="A2" s="2" t="s">
        <v>17</v>
      </c>
      <c r="B2" s="3">
        <v>12</v>
      </c>
    </row>
    <row r="3" spans="1:5">
      <c r="A3" s="2" t="s">
        <v>18</v>
      </c>
      <c r="B3" s="3"/>
    </row>
    <row r="4" spans="1:5">
      <c r="A4" s="2" t="s">
        <v>19</v>
      </c>
      <c r="B4" s="3"/>
    </row>
    <row r="6" spans="1:5" ht="36" customHeight="1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30" customHeight="1">
      <c r="A7" s="2" t="s">
        <v>25</v>
      </c>
      <c r="B7" s="3"/>
      <c r="C7" s="3"/>
      <c r="D7" s="3"/>
      <c r="E7" s="4" t="s">
        <v>48</v>
      </c>
    </row>
    <row r="8" spans="1:5" ht="30" customHeight="1">
      <c r="A8" s="2" t="s">
        <v>26</v>
      </c>
      <c r="B8" s="3"/>
      <c r="C8" s="3"/>
      <c r="D8" s="3"/>
      <c r="E8" s="4" t="s">
        <v>48</v>
      </c>
    </row>
    <row r="9" spans="1:5" ht="30" customHeight="1">
      <c r="A9" s="2" t="s">
        <v>27</v>
      </c>
      <c r="B9" s="3"/>
      <c r="C9" s="3"/>
      <c r="D9" s="3"/>
      <c r="E9" s="4" t="s">
        <v>48</v>
      </c>
    </row>
    <row r="10" spans="1:5" ht="30" customHeight="1">
      <c r="A10" s="2" t="s">
        <v>28</v>
      </c>
      <c r="B10" s="3"/>
      <c r="C10" s="3"/>
      <c r="D10" s="3"/>
      <c r="E10" s="4" t="s">
        <v>48</v>
      </c>
    </row>
    <row r="11" spans="1:5" ht="30" customHeight="1">
      <c r="A11" s="2" t="s">
        <v>29</v>
      </c>
      <c r="B11" s="3"/>
      <c r="C11" s="3"/>
      <c r="D11" s="3"/>
      <c r="E11" s="4" t="s">
        <v>48</v>
      </c>
    </row>
    <row r="12" spans="1:5" ht="30" customHeight="1">
      <c r="A12" s="2" t="s">
        <v>30</v>
      </c>
      <c r="B12" s="3"/>
      <c r="C12" s="3"/>
      <c r="D12" s="3"/>
      <c r="E12" s="4" t="s">
        <v>48</v>
      </c>
    </row>
    <row r="13" spans="1:5" ht="30" customHeight="1">
      <c r="A13" s="2" t="s">
        <v>31</v>
      </c>
      <c r="B13" s="3"/>
      <c r="C13" s="3"/>
      <c r="D13" s="3"/>
      <c r="E13" s="4" t="s">
        <v>48</v>
      </c>
    </row>
    <row r="14" spans="1:5" ht="30" customHeight="1">
      <c r="A14" s="2" t="s">
        <v>32</v>
      </c>
      <c r="B14" s="3"/>
      <c r="C14" s="3"/>
      <c r="D14" s="3"/>
      <c r="E14" s="4" t="s">
        <v>48</v>
      </c>
    </row>
    <row r="16" spans="1:5" ht="30" customHeight="1">
      <c r="A16" s="2" t="s">
        <v>33</v>
      </c>
      <c r="B16" s="3"/>
      <c r="C16" s="3"/>
      <c r="D16" s="3"/>
      <c r="E16" s="4" t="s">
        <v>48</v>
      </c>
    </row>
    <row r="17" spans="1:5" ht="30" customHeight="1">
      <c r="A17" s="2" t="s">
        <v>34</v>
      </c>
      <c r="B17" s="3"/>
      <c r="C17" s="3"/>
      <c r="D17" s="3"/>
      <c r="E17" s="4" t="s">
        <v>48</v>
      </c>
    </row>
    <row r="18" spans="1:5" ht="30" customHeight="1">
      <c r="A18" s="2" t="s">
        <v>35</v>
      </c>
      <c r="B18" s="3"/>
      <c r="C18" s="3"/>
      <c r="D18" s="3"/>
      <c r="E18" s="4" t="s">
        <v>48</v>
      </c>
    </row>
    <row r="19" spans="1:5" ht="30" customHeight="1">
      <c r="A19" s="2" t="s">
        <v>36</v>
      </c>
      <c r="B19" s="3"/>
      <c r="C19" s="3"/>
      <c r="D19" s="3"/>
      <c r="E19" s="4" t="s">
        <v>48</v>
      </c>
    </row>
    <row r="22" spans="1:5" ht="30" customHeight="1">
      <c r="A22" s="2" t="s">
        <v>37</v>
      </c>
      <c r="B22" s="5" t="str">
        <f>IF(AND(COUNT(B7:B14,B16:B19,$B$2:$B$4)=15,MIN(B7:B14,B16:B19,$B$2:$B$4)&gt;=0,$B$2&gt;=1,MOD($B$2,1)=0),"Ready","Incomplete")</f>
        <v>Incomplete</v>
      </c>
      <c r="C22" s="5" t="str">
        <f>IF(AND(COUNT(C7:C14,C16:C19,$B$2:$B$4)=15,MIN(C7:C14,C16:C19,$B$2:$B$4)&gt;=0,$B$2&gt;=1,MOD($B$2,1)=0),"Ready","Incomplete")</f>
        <v>Incomplete</v>
      </c>
      <c r="D22" s="5" t="str">
        <f>IF(AND(COUNT(D7:D14,D16:D19,$B$2:$B$4)=15,MIN(D7:D14,D16:D19,$B$2:$B$4)&gt;=0,$B$2&gt;=1,MOD($B$2,1)=0),"Ready","Incomplete")</f>
        <v>Incomplete</v>
      </c>
    </row>
    <row r="23" spans="1:5" ht="30" customHeight="1">
      <c r="A23" s="2" t="s">
        <v>38</v>
      </c>
      <c r="B23" s="6" t="str">
        <f>IF(B22="Ready",SUM(B7:B11),"Incomplete")</f>
        <v>Incomplete</v>
      </c>
      <c r="C23" s="6" t="str">
        <f>IF(C22="Ready",SUM(C7:C11),"Incomplete")</f>
        <v>Incomplete</v>
      </c>
      <c r="D23" s="6" t="str">
        <f>IF(D22="Ready",SUM(D7:D11),"Incomplete")</f>
        <v>Incomplete</v>
      </c>
    </row>
    <row r="24" spans="1:5" ht="30" customHeight="1">
      <c r="A24" s="2" t="s">
        <v>39</v>
      </c>
      <c r="B24" s="6" t="str">
        <f>IF(B22="Ready",$B$4*B14/60,"Incomplete")</f>
        <v>Incomplete</v>
      </c>
      <c r="C24" s="6" t="str">
        <f>IF(C22="Ready",$B$4*C14/60,"Incomplete")</f>
        <v>Incomplete</v>
      </c>
      <c r="D24" s="6" t="str">
        <f>IF(D22="Ready",$B$4*D14/60,"Incomplete")</f>
        <v>Incomplete</v>
      </c>
    </row>
    <row r="25" spans="1:5" ht="30" customHeight="1">
      <c r="A25" s="2" t="s">
        <v>40</v>
      </c>
      <c r="B25" s="6" t="str">
        <f>IF(B22="Ready",(B12+B13+B24)*$B$3,"Incomplete")</f>
        <v>Incomplete</v>
      </c>
      <c r="C25" s="6" t="str">
        <f>IF(C22="Ready",(C12+C13+C24)*$B$3,"Incomplete")</f>
        <v>Incomplete</v>
      </c>
      <c r="D25" s="6" t="str">
        <f>IF(D22="Ready",(D12+D13+D24)*$B$3,"Incomplete")</f>
        <v>Incomplete</v>
      </c>
    </row>
    <row r="26" spans="1:5" ht="30" customHeight="1">
      <c r="A26" s="2" t="s">
        <v>41</v>
      </c>
      <c r="B26" s="6" t="str">
        <f>IF(B22="Ready",B23+B25,"Incomplete")</f>
        <v>Incomplete</v>
      </c>
      <c r="C26" s="6" t="str">
        <f>IF(C22="Ready",C23+C25,"Incomplete")</f>
        <v>Incomplete</v>
      </c>
      <c r="D26" s="6" t="str">
        <f>IF(D22="Ready",D23+D25,"Incomplete")</f>
        <v>Incomplete</v>
      </c>
    </row>
    <row r="27" spans="1:5" ht="30" customHeight="1">
      <c r="A27" s="2" t="s">
        <v>42</v>
      </c>
      <c r="B27" s="6" t="str">
        <f>IF(B22="Ready",(B16+B17)*$B$3+B18+B19,"Incomplete")</f>
        <v>Incomplete</v>
      </c>
      <c r="C27" s="6" t="str">
        <f>IF(C22="Ready",(C16+C17)*$B$3+C18+C19,"Incomplete")</f>
        <v>Incomplete</v>
      </c>
      <c r="D27" s="6" t="str">
        <f>IF(D22="Ready",(D16+D17)*$B$3+D18+D19,"Incomplete")</f>
        <v>Incomplete</v>
      </c>
    </row>
    <row r="28" spans="1:5" ht="30" customHeight="1">
      <c r="A28" s="2" t="s">
        <v>43</v>
      </c>
      <c r="B28" s="6" t="str">
        <f>IF(B22="Ready",B26*$B$2+B27,"Incomplete")</f>
        <v>Incomplete</v>
      </c>
      <c r="C28" s="6" t="str">
        <f>IF(C22="Ready",C26*$B$2+C27,"Incomplete")</f>
        <v>Incomplete</v>
      </c>
      <c r="D28" s="6" t="str">
        <f>IF(D22="Ready",D26*$B$2+D27,"Incomplete")</f>
        <v>Incomplete</v>
      </c>
    </row>
    <row r="29" spans="1:5" ht="30" customHeight="1">
      <c r="A29" s="2" t="s">
        <v>44</v>
      </c>
      <c r="B29" s="6" t="str">
        <f>IF(AND(ISNUMBER($B$28),ISNUMBER(B28)),$B$28-B28,"Incomplete")</f>
        <v>Incomplete</v>
      </c>
      <c r="C29" s="6" t="str">
        <f>IF(AND(ISNUMBER($B$28),ISNUMBER(C28)),$B$28-C28,"Incomplete")</f>
        <v>Incomplete</v>
      </c>
      <c r="D29" s="6" t="str">
        <f>IF(AND(ISNUMBER($B$28),ISNUMBER(D28)),$B$28-D28,"Incomplete")</f>
        <v>Incomplete</v>
      </c>
    </row>
    <row r="30" spans="1:5" ht="30" customHeight="1">
      <c r="A30" s="2" t="s">
        <v>45</v>
      </c>
      <c r="B30" s="6" t="str">
        <f>IF(AND(ISNUMBER($B$24),ISNUMBER(B24)),$B$24-B24,"Incomplete")</f>
        <v>Incomplete</v>
      </c>
      <c r="C30" s="6" t="str">
        <f>IF(AND(ISNUMBER($B$24),ISNUMBER(C24)),$B$24-C24,"Incomplete")</f>
        <v>Incomplete</v>
      </c>
      <c r="D30" s="6" t="str">
        <f>IF(AND(ISNUMBER($B$24),ISNUMBER(D24)),$B$24-D24,"Incomplete")</f>
        <v>Incomplete</v>
      </c>
    </row>
    <row r="31" spans="1:5" ht="30" customHeight="1">
      <c r="A31" s="2" t="s">
        <v>46</v>
      </c>
      <c r="B31" s="6" t="str">
        <f>IF(ISNUMBER(B30),B30*$B$3,"Incomplete")</f>
        <v>Incomplete</v>
      </c>
      <c r="C31" s="6" t="str">
        <f>IF(ISNUMBER(C30),C30*$B$3,"Incomplete")</f>
        <v>Incomplete</v>
      </c>
      <c r="D31" s="6" t="str">
        <f>IF(ISNUMBER(D30),D30*$B$3,"Incomplete")</f>
        <v>Incomplete</v>
      </c>
    </row>
    <row r="32" spans="1:5" ht="30" customHeight="1">
      <c r="A32" s="2" t="s">
        <v>47</v>
      </c>
      <c r="B32" s="6" t="str">
        <f>IF(B22="Ready",B23*$B$2+B18+B19,"Incomplete")</f>
        <v>Incomplete</v>
      </c>
      <c r="C32" s="6" t="str">
        <f>IF(C22="Ready",C23*$B$2+C18+C19,"Incomplete")</f>
        <v>Incomplete</v>
      </c>
      <c r="D32" s="6" t="str">
        <f>IF(D22="Ready",D23*$B$2+D18+D19,"Incomplete")</f>
        <v>Incomplete</v>
      </c>
    </row>
    <row r="35" spans="1:5">
      <c r="A35" s="4" t="s">
        <v>49</v>
      </c>
      <c r="B35" s="4"/>
      <c r="C35" s="4"/>
      <c r="D35" s="4"/>
      <c r="E35" s="4"/>
    </row>
  </sheetData>
  <mergeCells count="2">
    <mergeCell ref="A1:E1"/>
    <mergeCell ref="A35:E35"/>
  </mergeCells>
  <dataValidations count="4">
    <dataValidation type="whole" operator="greaterThanOrEqual" allowBlank="1" showInputMessage="1" showErrorMessage="1" error="Enter a positive whole-month horizon." sqref="B2">
      <formula1>1</formula1>
    </dataValidation>
    <dataValidation type="decimal" operator="greaterThanOrEqual" allowBlank="1" showInputMessage="1" showErrorMessage="1" error="Enter a nonnegative numeric input or leave unknown blank." sqref="B3:B4">
      <formula1>0</formula1>
    </dataValidation>
    <dataValidation type="decimal" operator="greaterThanOrEqual" allowBlank="1" showInputMessage="1" showErrorMessage="1" error="Use a nonnegative number; blank means unknown." sqref="B7:D14">
      <formula1>0</formula1>
    </dataValidation>
    <dataValidation type="decimal" operator="greaterThanOrEqual" allowBlank="1" showInputMessage="1" showErrorMessage="1" error="Use a nonnegative number; blank means unknown." sqref="B16:D19">
      <formula1>0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47.7109375" customWidth="1"/>
    <col min="2" max="4" width="23.7109375" customWidth="1"/>
    <col min="5" max="5" width="58.7109375" customWidth="1"/>
  </cols>
  <sheetData>
    <row r="1" spans="1:5">
      <c r="A1" s="1" t="s">
        <v>50</v>
      </c>
      <c r="B1" s="1"/>
      <c r="C1" s="1"/>
      <c r="D1" s="1"/>
      <c r="E1" s="1"/>
    </row>
    <row r="2" spans="1:5">
      <c r="A2" s="2" t="s">
        <v>17</v>
      </c>
      <c r="B2" s="3">
        <v>12</v>
      </c>
    </row>
    <row r="3" spans="1:5">
      <c r="A3" s="2" t="s">
        <v>18</v>
      </c>
      <c r="B3" s="3"/>
    </row>
    <row r="4" spans="1:5">
      <c r="A4" s="2" t="s">
        <v>19</v>
      </c>
      <c r="B4" s="3"/>
    </row>
    <row r="6" spans="1:5" ht="36" customHeight="1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30" customHeight="1">
      <c r="A7" s="2" t="s">
        <v>25</v>
      </c>
      <c r="B7" s="3"/>
      <c r="C7" s="3"/>
      <c r="D7" s="3"/>
      <c r="E7" s="4" t="s">
        <v>48</v>
      </c>
    </row>
    <row r="8" spans="1:5" ht="30" customHeight="1">
      <c r="A8" s="2" t="s">
        <v>26</v>
      </c>
      <c r="B8" s="3"/>
      <c r="C8" s="3"/>
      <c r="D8" s="3"/>
      <c r="E8" s="4" t="s">
        <v>48</v>
      </c>
    </row>
    <row r="9" spans="1:5" ht="30" customHeight="1">
      <c r="A9" s="2" t="s">
        <v>27</v>
      </c>
      <c r="B9" s="3"/>
      <c r="C9" s="3"/>
      <c r="D9" s="3"/>
      <c r="E9" s="4" t="s">
        <v>48</v>
      </c>
    </row>
    <row r="10" spans="1:5" ht="30" customHeight="1">
      <c r="A10" s="2" t="s">
        <v>28</v>
      </c>
      <c r="B10" s="3"/>
      <c r="C10" s="3"/>
      <c r="D10" s="3"/>
      <c r="E10" s="4" t="s">
        <v>48</v>
      </c>
    </row>
    <row r="11" spans="1:5" ht="30" customHeight="1">
      <c r="A11" s="2" t="s">
        <v>29</v>
      </c>
      <c r="B11" s="3"/>
      <c r="C11" s="3"/>
      <c r="D11" s="3"/>
      <c r="E11" s="4" t="s">
        <v>48</v>
      </c>
    </row>
    <row r="12" spans="1:5" ht="30" customHeight="1">
      <c r="A12" s="2" t="s">
        <v>30</v>
      </c>
      <c r="B12" s="3"/>
      <c r="C12" s="3"/>
      <c r="D12" s="3"/>
      <c r="E12" s="4" t="s">
        <v>48</v>
      </c>
    </row>
    <row r="13" spans="1:5" ht="30" customHeight="1">
      <c r="A13" s="2" t="s">
        <v>31</v>
      </c>
      <c r="B13" s="3"/>
      <c r="C13" s="3"/>
      <c r="D13" s="3"/>
      <c r="E13" s="4" t="s">
        <v>48</v>
      </c>
    </row>
    <row r="14" spans="1:5" ht="30" customHeight="1">
      <c r="A14" s="2" t="s">
        <v>32</v>
      </c>
      <c r="B14" s="3"/>
      <c r="C14" s="3"/>
      <c r="D14" s="3"/>
      <c r="E14" s="4" t="s">
        <v>48</v>
      </c>
    </row>
    <row r="16" spans="1:5" ht="30" customHeight="1">
      <c r="A16" s="2" t="s">
        <v>33</v>
      </c>
      <c r="B16" s="3"/>
      <c r="C16" s="3"/>
      <c r="D16" s="3"/>
      <c r="E16" s="4" t="s">
        <v>48</v>
      </c>
    </row>
    <row r="17" spans="1:5" ht="30" customHeight="1">
      <c r="A17" s="2" t="s">
        <v>34</v>
      </c>
      <c r="B17" s="3"/>
      <c r="C17" s="3"/>
      <c r="D17" s="3"/>
      <c r="E17" s="4" t="s">
        <v>48</v>
      </c>
    </row>
    <row r="18" spans="1:5" ht="30" customHeight="1">
      <c r="A18" s="2" t="s">
        <v>35</v>
      </c>
      <c r="B18" s="3"/>
      <c r="C18" s="3"/>
      <c r="D18" s="3"/>
      <c r="E18" s="4" t="s">
        <v>48</v>
      </c>
    </row>
    <row r="19" spans="1:5" ht="30" customHeight="1">
      <c r="A19" s="2" t="s">
        <v>36</v>
      </c>
      <c r="B19" s="3"/>
      <c r="C19" s="3"/>
      <c r="D19" s="3"/>
      <c r="E19" s="4" t="s">
        <v>48</v>
      </c>
    </row>
    <row r="22" spans="1:5" ht="30" customHeight="1">
      <c r="A22" s="2" t="s">
        <v>37</v>
      </c>
      <c r="B22" s="5" t="str">
        <f>IF(AND(COUNT(B7:B14,B16:B19,$B$2:$B$4)=15,MIN(B7:B14,B16:B19,$B$2:$B$4)&gt;=0,$B$2&gt;=1,MOD($B$2,1)=0),"Ready","Incomplete")</f>
        <v>Incomplete</v>
      </c>
      <c r="C22" s="5" t="str">
        <f>IF(AND(COUNT(C7:C14,C16:C19,$B$2:$B$4)=15,MIN(C7:C14,C16:C19,$B$2:$B$4)&gt;=0,$B$2&gt;=1,MOD($B$2,1)=0),"Ready","Incomplete")</f>
        <v>Incomplete</v>
      </c>
      <c r="D22" s="5" t="str">
        <f>IF(AND(COUNT(D7:D14,D16:D19,$B$2:$B$4)=15,MIN(D7:D14,D16:D19,$B$2:$B$4)&gt;=0,$B$2&gt;=1,MOD($B$2,1)=0),"Ready","Incomplete")</f>
        <v>Incomplete</v>
      </c>
    </row>
    <row r="23" spans="1:5" ht="30" customHeight="1">
      <c r="A23" s="2" t="s">
        <v>38</v>
      </c>
      <c r="B23" s="6" t="str">
        <f>IF(B22="Ready",SUM(B7:B11),"Incomplete")</f>
        <v>Incomplete</v>
      </c>
      <c r="C23" s="6" t="str">
        <f>IF(C22="Ready",SUM(C7:C11),"Incomplete")</f>
        <v>Incomplete</v>
      </c>
      <c r="D23" s="6" t="str">
        <f>IF(D22="Ready",SUM(D7:D11),"Incomplete")</f>
        <v>Incomplete</v>
      </c>
    </row>
    <row r="24" spans="1:5" ht="30" customHeight="1">
      <c r="A24" s="2" t="s">
        <v>39</v>
      </c>
      <c r="B24" s="6" t="str">
        <f>IF(B22="Ready",$B$4*B14/60,"Incomplete")</f>
        <v>Incomplete</v>
      </c>
      <c r="C24" s="6" t="str">
        <f>IF(C22="Ready",$B$4*C14/60,"Incomplete")</f>
        <v>Incomplete</v>
      </c>
      <c r="D24" s="6" t="str">
        <f>IF(D22="Ready",$B$4*D14/60,"Incomplete")</f>
        <v>Incomplete</v>
      </c>
    </row>
    <row r="25" spans="1:5" ht="30" customHeight="1">
      <c r="A25" s="2" t="s">
        <v>40</v>
      </c>
      <c r="B25" s="6" t="str">
        <f>IF(B22="Ready",(B12+B13+B24)*$B$3,"Incomplete")</f>
        <v>Incomplete</v>
      </c>
      <c r="C25" s="6" t="str">
        <f>IF(C22="Ready",(C12+C13+C24)*$B$3,"Incomplete")</f>
        <v>Incomplete</v>
      </c>
      <c r="D25" s="6" t="str">
        <f>IF(D22="Ready",(D12+D13+D24)*$B$3,"Incomplete")</f>
        <v>Incomplete</v>
      </c>
    </row>
    <row r="26" spans="1:5" ht="30" customHeight="1">
      <c r="A26" s="2" t="s">
        <v>41</v>
      </c>
      <c r="B26" s="6" t="str">
        <f>IF(B22="Ready",B23+B25,"Incomplete")</f>
        <v>Incomplete</v>
      </c>
      <c r="C26" s="6" t="str">
        <f>IF(C22="Ready",C23+C25,"Incomplete")</f>
        <v>Incomplete</v>
      </c>
      <c r="D26" s="6" t="str">
        <f>IF(D22="Ready",D23+D25,"Incomplete")</f>
        <v>Incomplete</v>
      </c>
    </row>
    <row r="27" spans="1:5" ht="30" customHeight="1">
      <c r="A27" s="2" t="s">
        <v>42</v>
      </c>
      <c r="B27" s="6" t="str">
        <f>IF(B22="Ready",(B16+B17)*$B$3+B18+B19,"Incomplete")</f>
        <v>Incomplete</v>
      </c>
      <c r="C27" s="6" t="str">
        <f>IF(C22="Ready",(C16+C17)*$B$3+C18+C19,"Incomplete")</f>
        <v>Incomplete</v>
      </c>
      <c r="D27" s="6" t="str">
        <f>IF(D22="Ready",(D16+D17)*$B$3+D18+D19,"Incomplete")</f>
        <v>Incomplete</v>
      </c>
    </row>
    <row r="28" spans="1:5" ht="30" customHeight="1">
      <c r="A28" s="2" t="s">
        <v>43</v>
      </c>
      <c r="B28" s="6" t="str">
        <f>IF(B22="Ready",B26*$B$2+B27,"Incomplete")</f>
        <v>Incomplete</v>
      </c>
      <c r="C28" s="6" t="str">
        <f>IF(C22="Ready",C26*$B$2+C27,"Incomplete")</f>
        <v>Incomplete</v>
      </c>
      <c r="D28" s="6" t="str">
        <f>IF(D22="Ready",D26*$B$2+D27,"Incomplete")</f>
        <v>Incomplete</v>
      </c>
    </row>
    <row r="29" spans="1:5" ht="30" customHeight="1">
      <c r="A29" s="2" t="s">
        <v>44</v>
      </c>
      <c r="B29" s="6" t="str">
        <f>IF(AND(ISNUMBER($B$28),ISNUMBER(B28)),$B$28-B28,"Incomplete")</f>
        <v>Incomplete</v>
      </c>
      <c r="C29" s="6" t="str">
        <f>IF(AND(ISNUMBER($B$28),ISNUMBER(C28)),$B$28-C28,"Incomplete")</f>
        <v>Incomplete</v>
      </c>
      <c r="D29" s="6" t="str">
        <f>IF(AND(ISNUMBER($B$28),ISNUMBER(D28)),$B$28-D28,"Incomplete")</f>
        <v>Incomplete</v>
      </c>
    </row>
    <row r="30" spans="1:5" ht="30" customHeight="1">
      <c r="A30" s="2" t="s">
        <v>45</v>
      </c>
      <c r="B30" s="6" t="str">
        <f>IF(AND(ISNUMBER($B$24),ISNUMBER(B24)),$B$24-B24,"Incomplete")</f>
        <v>Incomplete</v>
      </c>
      <c r="C30" s="6" t="str">
        <f>IF(AND(ISNUMBER($B$24),ISNUMBER(C24)),$B$24-C24,"Incomplete")</f>
        <v>Incomplete</v>
      </c>
      <c r="D30" s="6" t="str">
        <f>IF(AND(ISNUMBER($B$24),ISNUMBER(D24)),$B$24-D24,"Incomplete")</f>
        <v>Incomplete</v>
      </c>
    </row>
    <row r="31" spans="1:5" ht="30" customHeight="1">
      <c r="A31" s="2" t="s">
        <v>46</v>
      </c>
      <c r="B31" s="6" t="str">
        <f>IF(ISNUMBER(B30),B30*$B$3,"Incomplete")</f>
        <v>Incomplete</v>
      </c>
      <c r="C31" s="6" t="str">
        <f>IF(ISNUMBER(C30),C30*$B$3,"Incomplete")</f>
        <v>Incomplete</v>
      </c>
      <c r="D31" s="6" t="str">
        <f>IF(ISNUMBER(D30),D30*$B$3,"Incomplete")</f>
        <v>Incomplete</v>
      </c>
    </row>
    <row r="32" spans="1:5" ht="30" customHeight="1">
      <c r="A32" s="2" t="s">
        <v>47</v>
      </c>
      <c r="B32" s="6" t="str">
        <f>IF(B22="Ready",B23*$B$2+B18+B19,"Incomplete")</f>
        <v>Incomplete</v>
      </c>
      <c r="C32" s="6" t="str">
        <f>IF(C22="Ready",C23*$B$2+C18+C19,"Incomplete")</f>
        <v>Incomplete</v>
      </c>
      <c r="D32" s="6" t="str">
        <f>IF(D22="Ready",D23*$B$2+D18+D19,"Incomplete")</f>
        <v>Incomplete</v>
      </c>
    </row>
    <row r="35" spans="1:5">
      <c r="A35" s="4" t="s">
        <v>49</v>
      </c>
      <c r="B35" s="4"/>
      <c r="C35" s="4"/>
      <c r="D35" s="4"/>
      <c r="E35" s="4"/>
    </row>
  </sheetData>
  <mergeCells count="2">
    <mergeCell ref="A1:E1"/>
    <mergeCell ref="A35:E35"/>
  </mergeCells>
  <dataValidations count="4">
    <dataValidation type="whole" operator="greaterThanOrEqual" allowBlank="1" showInputMessage="1" showErrorMessage="1" error="Enter a positive whole-month horizon." sqref="B2">
      <formula1>1</formula1>
    </dataValidation>
    <dataValidation type="decimal" operator="greaterThanOrEqual" allowBlank="1" showInputMessage="1" showErrorMessage="1" error="Enter a nonnegative numeric input or leave unknown blank." sqref="B3:B4">
      <formula1>0</formula1>
    </dataValidation>
    <dataValidation type="decimal" operator="greaterThanOrEqual" allowBlank="1" showInputMessage="1" showErrorMessage="1" error="Use a nonnegative number; blank means unknown." sqref="B7:D14">
      <formula1>0</formula1>
    </dataValidation>
    <dataValidation type="decimal" operator="greaterThanOrEqual" allowBlank="1" showInputMessage="1" showErrorMessage="1" error="Use a nonnegative number; blank means unknown." sqref="B16:D19">
      <formula1>0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47.7109375" customWidth="1"/>
    <col min="2" max="4" width="23.7109375" customWidth="1"/>
    <col min="5" max="5" width="58.7109375" customWidth="1"/>
  </cols>
  <sheetData>
    <row r="1" spans="1:5">
      <c r="A1" s="1" t="s">
        <v>51</v>
      </c>
      <c r="B1" s="1"/>
      <c r="C1" s="1"/>
      <c r="D1" s="1"/>
      <c r="E1" s="1"/>
    </row>
    <row r="2" spans="1:5">
      <c r="A2" s="2" t="s">
        <v>17</v>
      </c>
      <c r="B2" s="3">
        <v>12</v>
      </c>
    </row>
    <row r="3" spans="1:5">
      <c r="A3" s="2" t="s">
        <v>18</v>
      </c>
      <c r="B3" s="3"/>
    </row>
    <row r="4" spans="1:5">
      <c r="A4" s="2" t="s">
        <v>19</v>
      </c>
      <c r="B4" s="3"/>
    </row>
    <row r="6" spans="1:5" ht="36" customHeight="1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30" customHeight="1">
      <c r="A7" s="2" t="s">
        <v>25</v>
      </c>
      <c r="B7" s="3"/>
      <c r="C7" s="3"/>
      <c r="D7" s="3"/>
      <c r="E7" s="4" t="s">
        <v>48</v>
      </c>
    </row>
    <row r="8" spans="1:5" ht="30" customHeight="1">
      <c r="A8" s="2" t="s">
        <v>26</v>
      </c>
      <c r="B8" s="3"/>
      <c r="C8" s="3"/>
      <c r="D8" s="3"/>
      <c r="E8" s="4" t="s">
        <v>48</v>
      </c>
    </row>
    <row r="9" spans="1:5" ht="30" customHeight="1">
      <c r="A9" s="2" t="s">
        <v>27</v>
      </c>
      <c r="B9" s="3"/>
      <c r="C9" s="3"/>
      <c r="D9" s="3"/>
      <c r="E9" s="4" t="s">
        <v>48</v>
      </c>
    </row>
    <row r="10" spans="1:5" ht="30" customHeight="1">
      <c r="A10" s="2" t="s">
        <v>28</v>
      </c>
      <c r="B10" s="3"/>
      <c r="C10" s="3"/>
      <c r="D10" s="3"/>
      <c r="E10" s="4" t="s">
        <v>48</v>
      </c>
    </row>
    <row r="11" spans="1:5" ht="30" customHeight="1">
      <c r="A11" s="2" t="s">
        <v>29</v>
      </c>
      <c r="B11" s="3"/>
      <c r="C11" s="3"/>
      <c r="D11" s="3"/>
      <c r="E11" s="4" t="s">
        <v>48</v>
      </c>
    </row>
    <row r="12" spans="1:5" ht="30" customHeight="1">
      <c r="A12" s="2" t="s">
        <v>30</v>
      </c>
      <c r="B12" s="3"/>
      <c r="C12" s="3"/>
      <c r="D12" s="3"/>
      <c r="E12" s="4" t="s">
        <v>48</v>
      </c>
    </row>
    <row r="13" spans="1:5" ht="30" customHeight="1">
      <c r="A13" s="2" t="s">
        <v>31</v>
      </c>
      <c r="B13" s="3"/>
      <c r="C13" s="3"/>
      <c r="D13" s="3"/>
      <c r="E13" s="4" t="s">
        <v>48</v>
      </c>
    </row>
    <row r="14" spans="1:5" ht="30" customHeight="1">
      <c r="A14" s="2" t="s">
        <v>32</v>
      </c>
      <c r="B14" s="3"/>
      <c r="C14" s="3"/>
      <c r="D14" s="3"/>
      <c r="E14" s="4" t="s">
        <v>48</v>
      </c>
    </row>
    <row r="16" spans="1:5" ht="30" customHeight="1">
      <c r="A16" s="2" t="s">
        <v>33</v>
      </c>
      <c r="B16" s="3"/>
      <c r="C16" s="3"/>
      <c r="D16" s="3"/>
      <c r="E16" s="4" t="s">
        <v>48</v>
      </c>
    </row>
    <row r="17" spans="1:5" ht="30" customHeight="1">
      <c r="A17" s="2" t="s">
        <v>34</v>
      </c>
      <c r="B17" s="3"/>
      <c r="C17" s="3"/>
      <c r="D17" s="3"/>
      <c r="E17" s="4" t="s">
        <v>48</v>
      </c>
    </row>
    <row r="18" spans="1:5" ht="30" customHeight="1">
      <c r="A18" s="2" t="s">
        <v>35</v>
      </c>
      <c r="B18" s="3"/>
      <c r="C18" s="3"/>
      <c r="D18" s="3"/>
      <c r="E18" s="4" t="s">
        <v>48</v>
      </c>
    </row>
    <row r="19" spans="1:5" ht="30" customHeight="1">
      <c r="A19" s="2" t="s">
        <v>36</v>
      </c>
      <c r="B19" s="3"/>
      <c r="C19" s="3"/>
      <c r="D19" s="3"/>
      <c r="E19" s="4" t="s">
        <v>48</v>
      </c>
    </row>
    <row r="22" spans="1:5" ht="30" customHeight="1">
      <c r="A22" s="2" t="s">
        <v>37</v>
      </c>
      <c r="B22" s="5" t="str">
        <f>IF(AND(COUNT(B7:B14,B16:B19,$B$2:$B$4)=15,MIN(B7:B14,B16:B19,$B$2:$B$4)&gt;=0,$B$2&gt;=1,MOD($B$2,1)=0),"Ready","Incomplete")</f>
        <v>Incomplete</v>
      </c>
      <c r="C22" s="5" t="str">
        <f>IF(AND(COUNT(C7:C14,C16:C19,$B$2:$B$4)=15,MIN(C7:C14,C16:C19,$B$2:$B$4)&gt;=0,$B$2&gt;=1,MOD($B$2,1)=0),"Ready","Incomplete")</f>
        <v>Incomplete</v>
      </c>
      <c r="D22" s="5" t="str">
        <f>IF(AND(COUNT(D7:D14,D16:D19,$B$2:$B$4)=15,MIN(D7:D14,D16:D19,$B$2:$B$4)&gt;=0,$B$2&gt;=1,MOD($B$2,1)=0),"Ready","Incomplete")</f>
        <v>Incomplete</v>
      </c>
    </row>
    <row r="23" spans="1:5" ht="30" customHeight="1">
      <c r="A23" s="2" t="s">
        <v>38</v>
      </c>
      <c r="B23" s="6" t="str">
        <f>IF(B22="Ready",SUM(B7:B11),"Incomplete")</f>
        <v>Incomplete</v>
      </c>
      <c r="C23" s="6" t="str">
        <f>IF(C22="Ready",SUM(C7:C11),"Incomplete")</f>
        <v>Incomplete</v>
      </c>
      <c r="D23" s="6" t="str">
        <f>IF(D22="Ready",SUM(D7:D11),"Incomplete")</f>
        <v>Incomplete</v>
      </c>
    </row>
    <row r="24" spans="1:5" ht="30" customHeight="1">
      <c r="A24" s="2" t="s">
        <v>39</v>
      </c>
      <c r="B24" s="6" t="str">
        <f>IF(B22="Ready",$B$4*B14/60,"Incomplete")</f>
        <v>Incomplete</v>
      </c>
      <c r="C24" s="6" t="str">
        <f>IF(C22="Ready",$B$4*C14/60,"Incomplete")</f>
        <v>Incomplete</v>
      </c>
      <c r="D24" s="6" t="str">
        <f>IF(D22="Ready",$B$4*D14/60,"Incomplete")</f>
        <v>Incomplete</v>
      </c>
    </row>
    <row r="25" spans="1:5" ht="30" customHeight="1">
      <c r="A25" s="2" t="s">
        <v>40</v>
      </c>
      <c r="B25" s="6" t="str">
        <f>IF(B22="Ready",(B12+B13+B24)*$B$3,"Incomplete")</f>
        <v>Incomplete</v>
      </c>
      <c r="C25" s="6" t="str">
        <f>IF(C22="Ready",(C12+C13+C24)*$B$3,"Incomplete")</f>
        <v>Incomplete</v>
      </c>
      <c r="D25" s="6" t="str">
        <f>IF(D22="Ready",(D12+D13+D24)*$B$3,"Incomplete")</f>
        <v>Incomplete</v>
      </c>
    </row>
    <row r="26" spans="1:5" ht="30" customHeight="1">
      <c r="A26" s="2" t="s">
        <v>41</v>
      </c>
      <c r="B26" s="6" t="str">
        <f>IF(B22="Ready",B23+B25,"Incomplete")</f>
        <v>Incomplete</v>
      </c>
      <c r="C26" s="6" t="str">
        <f>IF(C22="Ready",C23+C25,"Incomplete")</f>
        <v>Incomplete</v>
      </c>
      <c r="D26" s="6" t="str">
        <f>IF(D22="Ready",D23+D25,"Incomplete")</f>
        <v>Incomplete</v>
      </c>
    </row>
    <row r="27" spans="1:5" ht="30" customHeight="1">
      <c r="A27" s="2" t="s">
        <v>42</v>
      </c>
      <c r="B27" s="6" t="str">
        <f>IF(B22="Ready",(B16+B17)*$B$3+B18+B19,"Incomplete")</f>
        <v>Incomplete</v>
      </c>
      <c r="C27" s="6" t="str">
        <f>IF(C22="Ready",(C16+C17)*$B$3+C18+C19,"Incomplete")</f>
        <v>Incomplete</v>
      </c>
      <c r="D27" s="6" t="str">
        <f>IF(D22="Ready",(D16+D17)*$B$3+D18+D19,"Incomplete")</f>
        <v>Incomplete</v>
      </c>
    </row>
    <row r="28" spans="1:5" ht="30" customHeight="1">
      <c r="A28" s="2" t="s">
        <v>43</v>
      </c>
      <c r="B28" s="6" t="str">
        <f>IF(B22="Ready",B26*$B$2+B27,"Incomplete")</f>
        <v>Incomplete</v>
      </c>
      <c r="C28" s="6" t="str">
        <f>IF(C22="Ready",C26*$B$2+C27,"Incomplete")</f>
        <v>Incomplete</v>
      </c>
      <c r="D28" s="6" t="str">
        <f>IF(D22="Ready",D26*$B$2+D27,"Incomplete")</f>
        <v>Incomplete</v>
      </c>
    </row>
    <row r="29" spans="1:5" ht="30" customHeight="1">
      <c r="A29" s="2" t="s">
        <v>44</v>
      </c>
      <c r="B29" s="6" t="str">
        <f>IF(AND(ISNUMBER($B$28),ISNUMBER(B28)),$B$28-B28,"Incomplete")</f>
        <v>Incomplete</v>
      </c>
      <c r="C29" s="6" t="str">
        <f>IF(AND(ISNUMBER($B$28),ISNUMBER(C28)),$B$28-C28,"Incomplete")</f>
        <v>Incomplete</v>
      </c>
      <c r="D29" s="6" t="str">
        <f>IF(AND(ISNUMBER($B$28),ISNUMBER(D28)),$B$28-D28,"Incomplete")</f>
        <v>Incomplete</v>
      </c>
    </row>
    <row r="30" spans="1:5" ht="30" customHeight="1">
      <c r="A30" s="2" t="s">
        <v>45</v>
      </c>
      <c r="B30" s="6" t="str">
        <f>IF(AND(ISNUMBER($B$24),ISNUMBER(B24)),$B$24-B24,"Incomplete")</f>
        <v>Incomplete</v>
      </c>
      <c r="C30" s="6" t="str">
        <f>IF(AND(ISNUMBER($B$24),ISNUMBER(C24)),$B$24-C24,"Incomplete")</f>
        <v>Incomplete</v>
      </c>
      <c r="D30" s="6" t="str">
        <f>IF(AND(ISNUMBER($B$24),ISNUMBER(D24)),$B$24-D24,"Incomplete")</f>
        <v>Incomplete</v>
      </c>
    </row>
    <row r="31" spans="1:5" ht="30" customHeight="1">
      <c r="A31" s="2" t="s">
        <v>46</v>
      </c>
      <c r="B31" s="6" t="str">
        <f>IF(ISNUMBER(B30),B30*$B$3,"Incomplete")</f>
        <v>Incomplete</v>
      </c>
      <c r="C31" s="6" t="str">
        <f>IF(ISNUMBER(C30),C30*$B$3,"Incomplete")</f>
        <v>Incomplete</v>
      </c>
      <c r="D31" s="6" t="str">
        <f>IF(ISNUMBER(D30),D30*$B$3,"Incomplete")</f>
        <v>Incomplete</v>
      </c>
    </row>
    <row r="32" spans="1:5" ht="30" customHeight="1">
      <c r="A32" s="2" t="s">
        <v>47</v>
      </c>
      <c r="B32" s="6" t="str">
        <f>IF(B22="Ready",B23*$B$2+B18+B19,"Incomplete")</f>
        <v>Incomplete</v>
      </c>
      <c r="C32" s="6" t="str">
        <f>IF(C22="Ready",C23*$B$2+C18+C19,"Incomplete")</f>
        <v>Incomplete</v>
      </c>
      <c r="D32" s="6" t="str">
        <f>IF(D22="Ready",D23*$B$2+D18+D19,"Incomplete")</f>
        <v>Incomplete</v>
      </c>
    </row>
    <row r="35" spans="1:5">
      <c r="A35" s="4" t="s">
        <v>49</v>
      </c>
      <c r="B35" s="4"/>
      <c r="C35" s="4"/>
      <c r="D35" s="4"/>
      <c r="E35" s="4"/>
    </row>
  </sheetData>
  <mergeCells count="2">
    <mergeCell ref="A1:E1"/>
    <mergeCell ref="A35:E35"/>
  </mergeCells>
  <dataValidations count="4">
    <dataValidation type="whole" operator="greaterThanOrEqual" allowBlank="1" showInputMessage="1" showErrorMessage="1" error="Enter a positive whole-month horizon." sqref="B2">
      <formula1>1</formula1>
    </dataValidation>
    <dataValidation type="decimal" operator="greaterThanOrEqual" allowBlank="1" showInputMessage="1" showErrorMessage="1" error="Enter a nonnegative numeric input or leave unknown blank." sqref="B3:B4">
      <formula1>0</formula1>
    </dataValidation>
    <dataValidation type="decimal" operator="greaterThanOrEqual" allowBlank="1" showInputMessage="1" showErrorMessage="1" error="Use a nonnegative number; blank means unknown." sqref="B7:D14">
      <formula1>0</formula1>
    </dataValidation>
    <dataValidation type="decimal" operator="greaterThanOrEqual" allowBlank="1" showInputMessage="1" showErrorMessage="1" error="Use a nonnegative number; blank means unknown." sqref="B16:D19">
      <formula1>0</formula1>
    </dataValidation>
  </dataValidations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47.7109375" customWidth="1"/>
    <col min="2" max="4" width="23.7109375" customWidth="1"/>
    <col min="5" max="5" width="58.7109375" customWidth="1"/>
  </cols>
  <sheetData>
    <row r="1" spans="1:5">
      <c r="A1" s="1" t="s">
        <v>52</v>
      </c>
      <c r="B1" s="1"/>
      <c r="C1" s="1"/>
      <c r="D1" s="1"/>
      <c r="E1" s="1"/>
    </row>
    <row r="2" spans="1:5">
      <c r="A2" s="2" t="s">
        <v>17</v>
      </c>
      <c r="B2" s="3">
        <v>12</v>
      </c>
    </row>
    <row r="3" spans="1:5">
      <c r="A3" s="2" t="s">
        <v>18</v>
      </c>
      <c r="B3" s="3">
        <v>75</v>
      </c>
    </row>
    <row r="4" spans="1:5">
      <c r="A4" s="2" t="s">
        <v>19</v>
      </c>
      <c r="B4" s="3">
        <v>20</v>
      </c>
    </row>
    <row r="6" spans="1:5" ht="36" customHeight="1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</row>
    <row r="7" spans="1:5" ht="30" customHeight="1">
      <c r="A7" s="2" t="s">
        <v>25</v>
      </c>
      <c r="B7" s="3">
        <v>100</v>
      </c>
      <c r="C7" s="3">
        <v>120</v>
      </c>
      <c r="D7" s="3">
        <v>80</v>
      </c>
      <c r="E7" s="4" t="s">
        <v>56</v>
      </c>
    </row>
    <row r="8" spans="1:5" ht="30" customHeight="1">
      <c r="A8" s="2" t="s">
        <v>26</v>
      </c>
      <c r="B8" s="3">
        <v>0</v>
      </c>
      <c r="C8" s="3">
        <v>20</v>
      </c>
      <c r="D8" s="3">
        <v>10</v>
      </c>
      <c r="E8" s="4" t="s">
        <v>56</v>
      </c>
    </row>
    <row r="9" spans="1:5" ht="30" customHeight="1">
      <c r="A9" s="2" t="s">
        <v>27</v>
      </c>
      <c r="B9" s="3">
        <v>50</v>
      </c>
      <c r="C9" s="3">
        <v>60</v>
      </c>
      <c r="D9" s="3">
        <v>40</v>
      </c>
      <c r="E9" s="4" t="s">
        <v>56</v>
      </c>
    </row>
    <row r="10" spans="1:5" ht="30" customHeight="1">
      <c r="A10" s="2" t="s">
        <v>28</v>
      </c>
      <c r="B10" s="3">
        <v>20</v>
      </c>
      <c r="C10" s="3">
        <v>20</v>
      </c>
      <c r="D10" s="3">
        <v>20</v>
      </c>
      <c r="E10" s="4" t="s">
        <v>56</v>
      </c>
    </row>
    <row r="11" spans="1:5" ht="30" customHeight="1">
      <c r="A11" s="2" t="s">
        <v>29</v>
      </c>
      <c r="B11" s="3">
        <v>30</v>
      </c>
      <c r="C11" s="3">
        <v>30</v>
      </c>
      <c r="D11" s="3">
        <v>30</v>
      </c>
      <c r="E11" s="4" t="s">
        <v>56</v>
      </c>
    </row>
    <row r="12" spans="1:5" ht="30" customHeight="1">
      <c r="A12" s="2" t="s">
        <v>30</v>
      </c>
      <c r="B12" s="3">
        <v>2</v>
      </c>
      <c r="C12" s="3">
        <v>2</v>
      </c>
      <c r="D12" s="3">
        <v>3</v>
      </c>
      <c r="E12" s="4" t="s">
        <v>56</v>
      </c>
    </row>
    <row r="13" spans="1:5" ht="30" customHeight="1">
      <c r="A13" s="2" t="s">
        <v>31</v>
      </c>
      <c r="B13" s="3">
        <v>1</v>
      </c>
      <c r="C13" s="3">
        <v>1</v>
      </c>
      <c r="D13" s="3">
        <v>1</v>
      </c>
      <c r="E13" s="4" t="s">
        <v>56</v>
      </c>
    </row>
    <row r="14" spans="1:5" ht="30" customHeight="1">
      <c r="A14" s="2" t="s">
        <v>32</v>
      </c>
      <c r="B14" s="3">
        <v>30</v>
      </c>
      <c r="C14" s="3">
        <v>15</v>
      </c>
      <c r="D14" s="3">
        <v>20</v>
      </c>
      <c r="E14" s="4" t="s">
        <v>56</v>
      </c>
    </row>
    <row r="16" spans="1:5" ht="30" customHeight="1">
      <c r="A16" s="2" t="s">
        <v>33</v>
      </c>
      <c r="B16" s="3">
        <v>0</v>
      </c>
      <c r="C16" s="3">
        <v>16</v>
      </c>
      <c r="D16" s="3">
        <v>8</v>
      </c>
      <c r="E16" s="4" t="s">
        <v>56</v>
      </c>
    </row>
    <row r="17" spans="1:5" ht="30" customHeight="1">
      <c r="A17" s="2" t="s">
        <v>34</v>
      </c>
      <c r="B17" s="3">
        <v>0</v>
      </c>
      <c r="C17" s="3">
        <v>4</v>
      </c>
      <c r="D17" s="3">
        <v>4</v>
      </c>
      <c r="E17" s="4" t="s">
        <v>56</v>
      </c>
    </row>
    <row r="18" spans="1:5" ht="30" customHeight="1">
      <c r="A18" s="2" t="s">
        <v>35</v>
      </c>
      <c r="B18" s="3">
        <v>0</v>
      </c>
      <c r="C18" s="3">
        <v>0</v>
      </c>
      <c r="D18" s="3">
        <v>100</v>
      </c>
      <c r="E18" s="4" t="s">
        <v>56</v>
      </c>
    </row>
    <row r="19" spans="1:5" ht="30" customHeight="1">
      <c r="A19" s="2" t="s">
        <v>36</v>
      </c>
      <c r="B19" s="3">
        <v>0</v>
      </c>
      <c r="C19" s="3">
        <v>100</v>
      </c>
      <c r="D19" s="3">
        <v>50</v>
      </c>
      <c r="E19" s="4" t="s">
        <v>56</v>
      </c>
    </row>
    <row r="22" spans="1:5" ht="30" customHeight="1">
      <c r="A22" s="2" t="s">
        <v>37</v>
      </c>
      <c r="B22" s="5" t="str">
        <f>IF(AND(COUNT(B7:B14,B16:B19,$B$2:$B$4)=15,MIN(B7:B14,B16:B19,$B$2:$B$4)&gt;=0,$B$2&gt;=1,MOD($B$2,1)=0),"Ready","Incomplete")</f>
        <v>Ready</v>
      </c>
      <c r="C22" s="5" t="str">
        <f>IF(AND(COUNT(C7:C14,C16:C19,$B$2:$B$4)=15,MIN(C7:C14,C16:C19,$B$2:$B$4)&gt;=0,$B$2&gt;=1,MOD($B$2,1)=0),"Ready","Incomplete")</f>
        <v>Ready</v>
      </c>
      <c r="D22" s="5" t="str">
        <f>IF(AND(COUNT(D7:D14,D16:D19,$B$2:$B$4)=15,MIN(D7:D14,D16:D19,$B$2:$B$4)&gt;=0,$B$2&gt;=1,MOD($B$2,1)=0),"Ready","Incomplete")</f>
        <v>Ready</v>
      </c>
    </row>
    <row r="23" spans="1:5" ht="30" customHeight="1">
      <c r="A23" s="2" t="s">
        <v>38</v>
      </c>
      <c r="B23" s="6">
        <f>IF(B22="Ready",SUM(B7:B11),"Incomplete")</f>
        <v>200</v>
      </c>
      <c r="C23" s="6">
        <f>IF(C22="Ready",SUM(C7:C11),"Incomplete")</f>
        <v>250</v>
      </c>
      <c r="D23" s="6">
        <f>IF(D22="Ready",SUM(D7:D11),"Incomplete")</f>
        <v>180</v>
      </c>
    </row>
    <row r="24" spans="1:5" ht="30" customHeight="1">
      <c r="A24" s="2" t="s">
        <v>39</v>
      </c>
      <c r="B24" s="6">
        <f>IF(B22="Ready",$B$4*B14/60,"Incomplete")</f>
        <v>10.0</v>
      </c>
      <c r="C24" s="6">
        <f>IF(C22="Ready",$B$4*C14/60,"Incomplete")</f>
        <v>5.0</v>
      </c>
      <c r="D24" s="6">
        <f>IF(D22="Ready",$B$4*D14/60,"Incomplete")</f>
        <v>6.666666666666667</v>
      </c>
    </row>
    <row r="25" spans="1:5" ht="30" customHeight="1">
      <c r="A25" s="2" t="s">
        <v>40</v>
      </c>
      <c r="B25" s="6">
        <f>IF(B22="Ready",(B12+B13+B24)*$B$3,"Incomplete")</f>
        <v>975.0</v>
      </c>
      <c r="C25" s="6">
        <f>IF(C22="Ready",(C12+C13+C24)*$B$3,"Incomplete")</f>
        <v>600.0</v>
      </c>
      <c r="D25" s="6">
        <f>IF(D22="Ready",(D12+D13+D24)*$B$3,"Incomplete")</f>
        <v>800.0000000000001</v>
      </c>
    </row>
    <row r="26" spans="1:5" ht="30" customHeight="1">
      <c r="A26" s="2" t="s">
        <v>41</v>
      </c>
      <c r="B26" s="6">
        <f>IF(B22="Ready",B23+B25,"Incomplete")</f>
        <v>1175.0</v>
      </c>
      <c r="C26" s="6">
        <f>IF(C22="Ready",C23+C25,"Incomplete")</f>
        <v>850.0</v>
      </c>
      <c r="D26" s="6">
        <f>IF(D22="Ready",D23+D25,"Incomplete")</f>
        <v>980.0000000000001</v>
      </c>
    </row>
    <row r="27" spans="1:5" ht="30" customHeight="1">
      <c r="A27" s="2" t="s">
        <v>42</v>
      </c>
      <c r="B27" s="6">
        <f>IF(B22="Ready",(B16+B17)*$B$3+B18+B19,"Incomplete")</f>
        <v>0</v>
      </c>
      <c r="C27" s="6">
        <f>IF(C22="Ready",(C16+C17)*$B$3+C18+C19,"Incomplete")</f>
        <v>1600</v>
      </c>
      <c r="D27" s="6">
        <f>IF(D22="Ready",(D16+D17)*$B$3+D18+D19,"Incomplete")</f>
        <v>1050</v>
      </c>
    </row>
    <row r="28" spans="1:5" ht="30" customHeight="1">
      <c r="A28" s="2" t="s">
        <v>43</v>
      </c>
      <c r="B28" s="6">
        <f>IF(B22="Ready",B26*$B$2+B27,"Incomplete")</f>
        <v>14100.0</v>
      </c>
      <c r="C28" s="6">
        <f>IF(C22="Ready",C26*$B$2+C27,"Incomplete")</f>
        <v>11800.0</v>
      </c>
      <c r="D28" s="6">
        <f>IF(D22="Ready",D26*$B$2+D27,"Incomplete")</f>
        <v>12810.000000000002</v>
      </c>
    </row>
    <row r="29" spans="1:5" ht="30" customHeight="1">
      <c r="A29" s="2" t="s">
        <v>44</v>
      </c>
      <c r="B29" s="6">
        <f>IF(AND(ISNUMBER($B$28),ISNUMBER(B28)),$B$28-B28,"Incomplete")</f>
        <v>0.0</v>
      </c>
      <c r="C29" s="6">
        <f>IF(AND(ISNUMBER($B$28),ISNUMBER(C28)),$B$28-C28,"Incomplete")</f>
        <v>2300.0</v>
      </c>
      <c r="D29" s="6">
        <f>IF(AND(ISNUMBER($B$28),ISNUMBER(D28)),$B$28-D28,"Incomplete")</f>
        <v>1289.9999999999982</v>
      </c>
    </row>
    <row r="30" spans="1:5" ht="30" customHeight="1">
      <c r="A30" s="2" t="s">
        <v>45</v>
      </c>
      <c r="B30" s="6">
        <f>IF(AND(ISNUMBER($B$24),ISNUMBER(B24)),$B$24-B24,"Incomplete")</f>
        <v>0.0</v>
      </c>
      <c r="C30" s="6">
        <f>IF(AND(ISNUMBER($B$24),ISNUMBER(C24)),$B$24-C24,"Incomplete")</f>
        <v>5.0</v>
      </c>
      <c r="D30" s="6">
        <f>IF(AND(ISNUMBER($B$24),ISNUMBER(D24)),$B$24-D24,"Incomplete")</f>
        <v>3.333333333333333</v>
      </c>
    </row>
    <row r="31" spans="1:5" ht="30" customHeight="1">
      <c r="A31" s="2" t="s">
        <v>46</v>
      </c>
      <c r="B31" s="6">
        <f>IF(ISNUMBER(B30),B30*$B$3,"Incomplete")</f>
        <v>0.0</v>
      </c>
      <c r="C31" s="6">
        <f>IF(ISNUMBER(C30),C30*$B$3,"Incomplete")</f>
        <v>375.0</v>
      </c>
      <c r="D31" s="6">
        <f>IF(ISNUMBER(D30),D30*$B$3,"Incomplete")</f>
        <v>249.99999999999997</v>
      </c>
    </row>
    <row r="32" spans="1:5" ht="30" customHeight="1">
      <c r="A32" s="2" t="s">
        <v>47</v>
      </c>
      <c r="B32" s="6">
        <f>IF(B22="Ready",B23*$B$2+B18+B19,"Incomplete")</f>
        <v>2400</v>
      </c>
      <c r="C32" s="6">
        <f>IF(C22="Ready",C23*$B$2+C18+C19,"Incomplete")</f>
        <v>3100</v>
      </c>
      <c r="D32" s="6">
        <f>IF(D22="Ready",D23*$B$2+D18+D19,"Incomplete")</f>
        <v>2310</v>
      </c>
    </row>
    <row r="35" spans="1:5">
      <c r="A35" s="4" t="s">
        <v>49</v>
      </c>
      <c r="B35" s="4"/>
      <c r="C35" s="4"/>
      <c r="D35" s="4"/>
      <c r="E35" s="4"/>
    </row>
  </sheetData>
  <mergeCells count="2">
    <mergeCell ref="A1:E1"/>
    <mergeCell ref="A35:E35"/>
  </mergeCells>
  <dataValidations count="4">
    <dataValidation type="whole" operator="greaterThanOrEqual" allowBlank="1" showInputMessage="1" showErrorMessage="1" error="Enter a positive whole-month horizon." sqref="B2">
      <formula1>1</formula1>
    </dataValidation>
    <dataValidation type="decimal" operator="greaterThanOrEqual" allowBlank="1" showInputMessage="1" showErrorMessage="1" error="Enter a nonnegative numeric input or leave unknown blank." sqref="B3:B4">
      <formula1>0</formula1>
    </dataValidation>
    <dataValidation type="decimal" operator="greaterThanOrEqual" allowBlank="1" showInputMessage="1" showErrorMessage="1" error="Use a nonnegative number; blank means unknown." sqref="B7:D14">
      <formula1>0</formula1>
    </dataValidation>
    <dataValidation type="decimal" operator="greaterThanOrEqual" allowBlank="1" showInputMessage="1" showErrorMessage="1" error="Use a nonnegative number; blank means unknown." sqref="B16:D19">
      <formula1>0</formula1>
    </dataValidation>
  </dataValidation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Guide</vt:lpstr>
      <vt:lpstr>Low</vt:lpstr>
      <vt:lpstr>Base</vt:lpstr>
      <vt:lpstr>High</vt:lpstr>
      <vt:lpstr>Illustration</vt:lpstr>
      <vt:lpstr>Base!Print_Area</vt:lpstr>
      <vt:lpstr>High!Print_Area</vt:lpstr>
      <vt:lpstr>Illustration!Print_Area</vt:lpstr>
      <vt:lpstr>Low!Print_Area</vt:lpstr>
      <vt:lpstr>Base!Print_Titles</vt:lpstr>
      <vt:lpstr>High!Print_Titles</vt:lpstr>
      <vt:lpstr>Illustration!Print_Titles</vt:lpstr>
      <vt:lpstr>Low!Print_Titles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GitLab Lab 02 — Buyer-owned cost model</dc:title>
  <dc:subject>Independent Portfolio Project; no vendor prices or measured savings</dc:subject>
  <dc:creator>Adam / SkynetAI-Labs</dc:creator>
  <dc:description>Blank templates return Incomplete. Illustration uses invented vendor-neutral inputs.</dc:description>
  <cp:lastModifiedBy>Adam / SkynetAI-Labs</cp:lastModifiedBy>
  <dcterms:created xsi:type="dcterms:W3CDTF">2026-10-25T13:06:58Z</dcterms:created>
  <dcterms:modified xsi:type="dcterms:W3CDTF">2026-10-25T13:06:58Z</dcterms:modified>
</cp:coreProperties>
</file>